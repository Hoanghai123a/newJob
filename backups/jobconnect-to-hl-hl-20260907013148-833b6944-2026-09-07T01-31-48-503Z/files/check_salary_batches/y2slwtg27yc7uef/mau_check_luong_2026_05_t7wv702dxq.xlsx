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4430" windowHeight="10245"/>
  </bookViews>
  <sheets>
    <sheet name="Check lương" sheetId="1" r:id="rId1"/>
  </sheets>
  <calcPr calcId="162913"/>
</workbook>
</file>

<file path=xl/calcChain.xml><?xml version="1.0" encoding="utf-8"?>
<calcChain xmlns="http://schemas.openxmlformats.org/spreadsheetml/2006/main">
  <c r="J6" i="1" l="1"/>
  <c r="J2" i="1"/>
  <c r="J3" i="1"/>
  <c r="J4" i="1"/>
  <c r="J5" i="1"/>
</calcChain>
</file>

<file path=xl/sharedStrings.xml><?xml version="1.0" encoding="utf-8"?>
<sst xmlns="http://schemas.openxmlformats.org/spreadsheetml/2006/main" count="32" uniqueCount="24">
  <si>
    <t>Mã NV</t>
  </si>
  <si>
    <t>Nhà máy</t>
  </si>
  <si>
    <t>Họ tên</t>
  </si>
  <si>
    <t>Ngày vào làm</t>
  </si>
  <si>
    <t>Ngày nghỉ</t>
  </si>
  <si>
    <t>Lương cơ bản</t>
  </si>
  <si>
    <t>Số công HC</t>
  </si>
  <si>
    <t>Hệ số</t>
  </si>
  <si>
    <t>Số giờ</t>
  </si>
  <si>
    <t>Thành tiền</t>
  </si>
  <si>
    <t>Loại phụ cấp</t>
  </si>
  <si>
    <t>Tiền phụ cấp</t>
  </si>
  <si>
    <t>Loại khấu trừ</t>
  </si>
  <si>
    <t>Tiền khấu trừ</t>
  </si>
  <si>
    <t>HOÀNG VĂN MINH</t>
  </si>
  <si>
    <t>01/05/2026</t>
  </si>
  <si>
    <t/>
  </si>
  <si>
    <t>100%</t>
  </si>
  <si>
    <t>Chuyên cần</t>
  </si>
  <si>
    <t>150%</t>
  </si>
  <si>
    <t>Đời sống</t>
  </si>
  <si>
    <t>Tạm ứng</t>
  </si>
  <si>
    <t>Compal</t>
  </si>
  <si>
    <t>Đồng phục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</si>
</sst>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D2" sqref="D2"/>
    </sheetView>
  </sheetViews>
  <sheetFormatPr defaultRowHeight="15.75" x14ac:dyDescent="0.25"/>
  <cols>
    <col min="2" max="2" width="9.625" bestFit="1" customWidth="1"/>
    <col min="3" max="3" width="16.375" bestFit="1" customWidth="1"/>
    <col min="6" max="6" width="12.125" bestFit="1" customWidth="1"/>
    <col min="7" max="7" width="10" bestFit="1" customWidth="1"/>
    <col min="10" max="10" width="9.5" bestFit="1" customWidth="1"/>
    <col min="11" max="11" width="11.125" bestFit="1" customWidth="1"/>
    <col min="12" max="12" width="11.25" bestFit="1" customWidth="1"/>
    <col min="13" max="14" width="12.625" customWidth="1"/>
    <col min="15" max="15" width="10.25" bestFit="1" customWidth="1"/>
    <col min="16" max="16" width="11.75" bestFit="1" customWidth="1"/>
    <col min="17" max="17" width="12.25" bestFit="1" customWidth="1"/>
    <col min="18" max="18" width="9.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223344</v>
      </c>
      <c r="B2" t="s">
        <v>22</v>
      </c>
      <c r="C2" t="s">
        <v>14</v>
      </c>
      <c r="D2" t="s">
        <v>15</v>
      </c>
      <c r="E2" t="s">
        <v>16</v>
      </c>
      <c r="F2">
        <v>5000000</v>
      </c>
      <c r="G2">
        <v>26</v>
      </c>
      <c r="H2" t="s">
        <v>17</v>
      </c>
      <c r="I2">
        <v>208</v>
      </c>
      <c r="J2">
        <f t="shared" ref="J2:J6" si="0">$F$2/26/8*H2*I2</f>
        <v>5000000</v>
      </c>
      <c r="K2" t="s">
        <v>18</v>
      </c>
      <c r="L2">
        <v>300000</v>
      </c>
      <c r="M2" t="s">
        <v>21</v>
      </c>
      <c r="N2">
        <v>200000</v>
      </c>
    </row>
    <row r="3" spans="1:14" x14ac:dyDescent="0.25">
      <c r="A3">
        <v>223344</v>
      </c>
      <c r="B3" t="s">
        <v>22</v>
      </c>
      <c r="D3" t="s">
        <v>16</v>
      </c>
      <c r="E3" t="s">
        <v>16</v>
      </c>
      <c r="F3" t="s">
        <v>16</v>
      </c>
      <c r="G3" t="s">
        <v>16</v>
      </c>
      <c r="H3" t="s">
        <v>19</v>
      </c>
      <c r="I3">
        <v>10</v>
      </c>
      <c r="J3">
        <f t="shared" si="0"/>
        <v>360576.92307692312</v>
      </c>
      <c r="K3" t="s">
        <v>20</v>
      </c>
      <c r="L3">
        <v>300000</v>
      </c>
      <c r="M3" t="s">
        <v>23</v>
      </c>
      <c r="N3">
        <v>200000</v>
      </c>
    </row>
    <row r="4" spans="1:14" x14ac:dyDescent="0.25">
      <c r="A4">
        <v>223344</v>
      </c>
      <c r="B4" t="s">
        <v>22</v>
      </c>
      <c r="H4" s="1">
        <v>2.1</v>
      </c>
      <c r="I4">
        <v>10</v>
      </c>
      <c r="J4">
        <f t="shared" si="0"/>
        <v>504807.69230769237</v>
      </c>
    </row>
    <row r="5" spans="1:14" x14ac:dyDescent="0.25">
      <c r="A5">
        <v>223344</v>
      </c>
      <c r="B5" t="s">
        <v>22</v>
      </c>
      <c r="H5" s="1">
        <v>3</v>
      </c>
      <c r="I5">
        <v>8</v>
      </c>
      <c r="J5">
        <f t="shared" si="0"/>
        <v>576923.07692307699</v>
      </c>
    </row>
    <row r="6" spans="1:14" x14ac:dyDescent="0.25">
      <c r="A6">
        <v>223344</v>
      </c>
      <c r="B6" t="s">
        <v>22</v>
      </c>
      <c r="H6" s="1">
        <v>3.9</v>
      </c>
      <c r="I6">
        <v>11</v>
      </c>
      <c r="J6">
        <f t="shared" si="0"/>
        <v>1031250</v>
      </c>
    </row>
  </sheetData>
  <pageMargins left="0.7" right="0.7" top="0.75" bottom="0.75" header="0.3" footer="0.3"/>
  <ignoredErrors>
    <ignoredError sqref="A1:N1 D3:I3 C2:I2 K3:L3 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lương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2026-05-23T00:43:05Z</dcterms:modified>
</cp:coreProperties>
</file>